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720" yWindow="330" windowWidth="27555" windowHeight="12315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1" sheetId="1" r:id="rId6"/>
  </sheets>
  <calcPr calcId="0"/>
  <pivotCaches>
    <pivotCache cacheId="19" r:id="rId7"/>
  </pivotCaches>
</workbook>
</file>

<file path=xl/calcChain.xml><?xml version="1.0" encoding="utf-8"?>
<calcChain xmlns="http://schemas.openxmlformats.org/spreadsheetml/2006/main">
  <c r="I23" i="1" l="1"/>
  <c r="I19" i="1"/>
  <c r="H19" i="1"/>
  <c r="H18" i="1"/>
</calcChain>
</file>

<file path=xl/sharedStrings.xml><?xml version="1.0" encoding="utf-8"?>
<sst xmlns="http://schemas.openxmlformats.org/spreadsheetml/2006/main" count="168" uniqueCount="37">
  <si>
    <t>Student_Name</t>
  </si>
  <si>
    <t>Subject</t>
  </si>
  <si>
    <t>Marks</t>
  </si>
  <si>
    <t>Class</t>
  </si>
  <si>
    <t>Gender</t>
  </si>
  <si>
    <t>Aarav</t>
  </si>
  <si>
    <t>Math</t>
  </si>
  <si>
    <t>10A</t>
  </si>
  <si>
    <t>Male</t>
  </si>
  <si>
    <t>Science</t>
  </si>
  <si>
    <t>English</t>
  </si>
  <si>
    <t>SST</t>
  </si>
  <si>
    <t>Diya</t>
  </si>
  <si>
    <t>Female</t>
  </si>
  <si>
    <t>Rohan</t>
  </si>
  <si>
    <t>10B</t>
  </si>
  <si>
    <t>Sneha</t>
  </si>
  <si>
    <t>Karan</t>
  </si>
  <si>
    <t>Pooja</t>
  </si>
  <si>
    <t>Rahul</t>
  </si>
  <si>
    <t>Ananya</t>
  </si>
  <si>
    <t>Row Labels</t>
  </si>
  <si>
    <t>Grand Total</t>
  </si>
  <si>
    <t>Average of Marks</t>
  </si>
  <si>
    <t>Maximum marks</t>
  </si>
  <si>
    <t>failed students</t>
  </si>
  <si>
    <t>Female students is 27 percent higher average marks than male students.</t>
  </si>
  <si>
    <t>10b is performing better than 10a</t>
  </si>
  <si>
    <t>Female studnts are out performing male student on average.</t>
  </si>
  <si>
    <t xml:space="preserve">37.5 % students are failing </t>
  </si>
  <si>
    <t>Male avg</t>
  </si>
  <si>
    <t>female avg</t>
  </si>
  <si>
    <t>Percentage increase</t>
  </si>
  <si>
    <t>Math has lowest average marks</t>
  </si>
  <si>
    <t>Total records (subject-wise marks) = 32</t>
  </si>
  <si>
    <t>Failed subject attempts = 3</t>
  </si>
  <si>
    <t>Failure rate (per subject) = 9.37%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</si>
</sst>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9" fillId="5" borderId="4" xfId="9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[Student_Marks_Analysis_Excel.xlsx]Sheet5!PivotTable6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  <c:pt idx="3">
                  <c:v>SST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69.375</c:v>
                </c:pt>
                <c:pt idx="1">
                  <c:v>67.625</c:v>
                </c:pt>
                <c:pt idx="2">
                  <c:v>71.375</c:v>
                </c:pt>
                <c:pt idx="3">
                  <c:v>67.625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93952"/>
        <c:axId val="176687744"/>
      </c:barChart>
      <c:catAx>
        <c:axId val="173293952"/>
        <c:scaling>
          <c:orientation val="minMax"/>
        </c:scaling>
        <c:delete val="0"/>
        <c:axPos val="l"/>
        <c:majorTickMark val="out"/>
        <c:minorTickMark val="none"/>
        <c:tickLblPos val="nextTo"/>
        <c:crossAx val="176687744"/>
        <c:crosses val="autoZero"/>
        <c:auto val="1"/>
        <c:lblAlgn val="ctr"/>
        <c:lblOffset val="100"/>
        <c:noMultiLvlLbl val="0"/>
      </c:catAx>
      <c:valAx>
        <c:axId val="176687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3293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[Student_Marks_Analysis_Excel.xlsx]Sheet5!PivotTable6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Marks By Subjects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  <c:pt idx="3">
                  <c:v>SST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69.375</c:v>
                </c:pt>
                <c:pt idx="1">
                  <c:v>67.625</c:v>
                </c:pt>
                <c:pt idx="2">
                  <c:v>71.375</c:v>
                </c:pt>
                <c:pt idx="3">
                  <c:v>67.625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88064"/>
        <c:axId val="248357248"/>
      </c:barChart>
      <c:catAx>
        <c:axId val="173288064"/>
        <c:scaling>
          <c:orientation val="minMax"/>
        </c:scaling>
        <c:delete val="0"/>
        <c:axPos val="l"/>
        <c:majorTickMark val="out"/>
        <c:minorTickMark val="none"/>
        <c:tickLblPos val="nextTo"/>
        <c:crossAx val="248357248"/>
        <c:crosses val="autoZero"/>
        <c:auto val="1"/>
        <c:lblAlgn val="ctr"/>
        <c:lblOffset val="100"/>
        <c:noMultiLvlLbl val="0"/>
      </c:catAx>
      <c:valAx>
        <c:axId val="2483572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3288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13</xdr:row>
      <xdr:rowOff>80962</xdr:rowOff>
    </xdr:from>
    <xdr:to>
      <xdr:col>7</xdr:col>
      <xdr:colOff>571500</xdr:colOff>
      <xdr:row>27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0</xdr:row>
      <xdr:rowOff>104774</xdr:rowOff>
    </xdr:from>
    <xdr:to>
      <xdr:col>10</xdr:col>
      <xdr:colOff>276225</xdr:colOff>
      <xdr:row>11</xdr:row>
      <xdr:rowOff>57149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" refreshedDate="46004.713394907405" createdVersion="4" refreshedVersion="4" minRefreshableVersion="3" recordCount="32">
  <cacheSource type="worksheet">
    <worksheetSource ref="A1:E33" sheet="1"/>
  </cacheSource>
  <cacheFields count="5">
    <cacheField name="Student_Name" numFmtId="0">
      <sharedItems count="8">
        <s v="Aarav"/>
        <s v="Diya"/>
        <s v="Rohan"/>
        <s v="Sneha"/>
        <s v="Karan"/>
        <s v="Pooja"/>
        <s v="Rahul"/>
        <s v="Ananya"/>
      </sharedItems>
    </cacheField>
    <cacheField name="Subject" numFmtId="0">
      <sharedItems count="4">
        <s v="Math"/>
        <s v="Science"/>
        <s v="English"/>
        <s v="SST"/>
      </sharedItems>
    </cacheField>
    <cacheField name="Marks" numFmtId="0">
      <sharedItems containsSemiMixedTypes="0" containsString="0" containsNumber="1" containsInteger="1" minValue="35" maxValue="94"/>
    </cacheField>
    <cacheField name="Class" numFmtId="0">
      <sharedItems count="2">
        <s v="10A"/>
        <s v="10B"/>
      </sharedItems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n v="78"/>
    <x v="0"/>
    <x v="0"/>
  </r>
  <r>
    <x v="0"/>
    <x v="1"/>
    <n v="82"/>
    <x v="0"/>
    <x v="0"/>
  </r>
  <r>
    <x v="0"/>
    <x v="2"/>
    <n v="74"/>
    <x v="0"/>
    <x v="0"/>
  </r>
  <r>
    <x v="0"/>
    <x v="3"/>
    <n v="69"/>
    <x v="0"/>
    <x v="0"/>
  </r>
  <r>
    <x v="1"/>
    <x v="0"/>
    <n v="88"/>
    <x v="0"/>
    <x v="1"/>
  </r>
  <r>
    <x v="1"/>
    <x v="1"/>
    <n v="91"/>
    <x v="0"/>
    <x v="1"/>
  </r>
  <r>
    <x v="1"/>
    <x v="2"/>
    <n v="85"/>
    <x v="0"/>
    <x v="1"/>
  </r>
  <r>
    <x v="1"/>
    <x v="3"/>
    <n v="80"/>
    <x v="0"/>
    <x v="1"/>
  </r>
  <r>
    <x v="2"/>
    <x v="0"/>
    <n v="45"/>
    <x v="1"/>
    <x v="0"/>
  </r>
  <r>
    <x v="2"/>
    <x v="1"/>
    <n v="52"/>
    <x v="1"/>
    <x v="0"/>
  </r>
  <r>
    <x v="2"/>
    <x v="2"/>
    <n v="48"/>
    <x v="1"/>
    <x v="0"/>
  </r>
  <r>
    <x v="2"/>
    <x v="3"/>
    <n v="50"/>
    <x v="1"/>
    <x v="0"/>
  </r>
  <r>
    <x v="3"/>
    <x v="0"/>
    <n v="92"/>
    <x v="1"/>
    <x v="1"/>
  </r>
  <r>
    <x v="3"/>
    <x v="1"/>
    <n v="89"/>
    <x v="1"/>
    <x v="1"/>
  </r>
  <r>
    <x v="3"/>
    <x v="2"/>
    <n v="94"/>
    <x v="1"/>
    <x v="1"/>
  </r>
  <r>
    <x v="3"/>
    <x v="3"/>
    <n v="90"/>
    <x v="1"/>
    <x v="1"/>
  </r>
  <r>
    <x v="4"/>
    <x v="0"/>
    <n v="35"/>
    <x v="0"/>
    <x v="0"/>
  </r>
  <r>
    <x v="4"/>
    <x v="1"/>
    <n v="40"/>
    <x v="0"/>
    <x v="0"/>
  </r>
  <r>
    <x v="4"/>
    <x v="2"/>
    <n v="38"/>
    <x v="0"/>
    <x v="0"/>
  </r>
  <r>
    <x v="4"/>
    <x v="3"/>
    <n v="42"/>
    <x v="0"/>
    <x v="0"/>
  </r>
  <r>
    <x v="5"/>
    <x v="0"/>
    <n v="67"/>
    <x v="1"/>
    <x v="1"/>
  </r>
  <r>
    <x v="5"/>
    <x v="1"/>
    <n v="72"/>
    <x v="1"/>
    <x v="1"/>
  </r>
  <r>
    <x v="5"/>
    <x v="2"/>
    <n v="70"/>
    <x v="1"/>
    <x v="1"/>
  </r>
  <r>
    <x v="5"/>
    <x v="3"/>
    <n v="65"/>
    <x v="1"/>
    <x v="1"/>
  </r>
  <r>
    <x v="6"/>
    <x v="0"/>
    <n v="55"/>
    <x v="0"/>
    <x v="0"/>
  </r>
  <r>
    <x v="6"/>
    <x v="1"/>
    <n v="60"/>
    <x v="0"/>
    <x v="0"/>
  </r>
  <r>
    <x v="6"/>
    <x v="2"/>
    <n v="58"/>
    <x v="0"/>
    <x v="0"/>
  </r>
  <r>
    <x v="6"/>
    <x v="3"/>
    <n v="62"/>
    <x v="0"/>
    <x v="0"/>
  </r>
  <r>
    <x v="7"/>
    <x v="0"/>
    <n v="81"/>
    <x v="1"/>
    <x v="1"/>
  </r>
  <r>
    <x v="7"/>
    <x v="1"/>
    <n v="85"/>
    <x v="1"/>
    <x v="1"/>
  </r>
  <r>
    <x v="7"/>
    <x v="2"/>
    <n v="88"/>
    <x v="1"/>
    <x v="1"/>
  </r>
  <r>
    <x v="7"/>
    <x v="3"/>
    <n v="8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4" indent="0" showHeaders="0" outline="1" outlineData="1" multipleFieldFilters="0">
  <location ref="A3:B12" firstHeaderRow="1" firstDataRow="1" firstDataCol="1"/>
  <pivotFields count="5">
    <pivotField axis="axisRow" showAll="0">
      <items count="9">
        <item x="0"/>
        <item x="7"/>
        <item x="1"/>
        <item x="4"/>
        <item x="5"/>
        <item x="6"/>
        <item x="2"/>
        <item x="3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arks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5"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arks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5:B38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Marks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B4" sqref="B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E8" sqref="E8"/>
    </sheetView>
  </sheetViews>
  <sheetFormatPr defaultRowHeight="15" x14ac:dyDescent="0.25"/>
  <cols>
    <col min="1" max="1" width="11.28515625" customWidth="1"/>
    <col min="2" max="2" width="16.5703125" bestFit="1" customWidth="1"/>
  </cols>
  <sheetData>
    <row r="3" spans="1:2" x14ac:dyDescent="0.25">
      <c r="B3" t="s">
        <v>23</v>
      </c>
    </row>
    <row r="4" spans="1:2" x14ac:dyDescent="0.25">
      <c r="A4" s="3" t="s">
        <v>5</v>
      </c>
      <c r="B4" s="4">
        <v>75.75</v>
      </c>
    </row>
    <row r="5" spans="1:2" x14ac:dyDescent="0.25">
      <c r="A5" s="3" t="s">
        <v>20</v>
      </c>
      <c r="B5" s="4">
        <v>84.25</v>
      </c>
    </row>
    <row r="6" spans="1:2" x14ac:dyDescent="0.25">
      <c r="A6" s="3" t="s">
        <v>12</v>
      </c>
      <c r="B6" s="4">
        <v>86</v>
      </c>
    </row>
    <row r="7" spans="1:2" x14ac:dyDescent="0.25">
      <c r="A7" s="3" t="s">
        <v>17</v>
      </c>
      <c r="B7" s="4">
        <v>38.75</v>
      </c>
    </row>
    <row r="8" spans="1:2" x14ac:dyDescent="0.25">
      <c r="A8" s="3" t="s">
        <v>18</v>
      </c>
      <c r="B8" s="4">
        <v>68.5</v>
      </c>
    </row>
    <row r="9" spans="1:2" x14ac:dyDescent="0.25">
      <c r="A9" s="3" t="s">
        <v>19</v>
      </c>
      <c r="B9" s="4">
        <v>58.75</v>
      </c>
    </row>
    <row r="10" spans="1:2" x14ac:dyDescent="0.25">
      <c r="A10" s="3" t="s">
        <v>14</v>
      </c>
      <c r="B10" s="4">
        <v>48.75</v>
      </c>
    </row>
    <row r="11" spans="1:2" x14ac:dyDescent="0.25">
      <c r="A11" s="3" t="s">
        <v>16</v>
      </c>
      <c r="B11" s="4">
        <v>91.25</v>
      </c>
    </row>
    <row r="12" spans="1:2" x14ac:dyDescent="0.25">
      <c r="A12" s="3" t="s">
        <v>22</v>
      </c>
      <c r="B12" s="4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21</v>
      </c>
      <c r="B3" t="s">
        <v>23</v>
      </c>
    </row>
    <row r="4" spans="1:2" x14ac:dyDescent="0.25">
      <c r="A4" s="3" t="s">
        <v>10</v>
      </c>
      <c r="B4" s="4">
        <v>69.375</v>
      </c>
    </row>
    <row r="5" spans="1:2" x14ac:dyDescent="0.25">
      <c r="A5" s="3" t="s">
        <v>6</v>
      </c>
      <c r="B5" s="4">
        <v>67.625</v>
      </c>
    </row>
    <row r="6" spans="1:2" x14ac:dyDescent="0.25">
      <c r="A6" s="3" t="s">
        <v>9</v>
      </c>
      <c r="B6" s="4">
        <v>71.375</v>
      </c>
    </row>
    <row r="7" spans="1:2" x14ac:dyDescent="0.25">
      <c r="A7" s="3" t="s">
        <v>11</v>
      </c>
      <c r="B7" s="4">
        <v>67.625</v>
      </c>
    </row>
    <row r="8" spans="1:2" x14ac:dyDescent="0.25">
      <c r="A8" s="3" t="s">
        <v>22</v>
      </c>
      <c r="B8" s="4">
        <v>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B1" workbookViewId="0">
      <selection activeCell="H34" sqref="H34"/>
    </sheetView>
  </sheetViews>
  <sheetFormatPr defaultRowHeight="15" x14ac:dyDescent="0.25"/>
  <cols>
    <col min="1" max="1" width="17" customWidth="1"/>
    <col min="2" max="2" width="14.28515625" customWidth="1"/>
    <col min="3" max="3" width="15.28515625" customWidth="1"/>
    <col min="4" max="4" width="14.7109375" customWidth="1"/>
    <col min="5" max="5" width="17.85546875" customWidth="1"/>
    <col min="7" max="7" width="4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t="s">
        <v>5</v>
      </c>
      <c r="B2" t="s">
        <v>6</v>
      </c>
      <c r="C2">
        <v>78</v>
      </c>
      <c r="D2" t="s">
        <v>7</v>
      </c>
      <c r="E2" t="s">
        <v>8</v>
      </c>
    </row>
    <row r="3" spans="1:11" x14ac:dyDescent="0.25">
      <c r="A3" t="s">
        <v>5</v>
      </c>
      <c r="B3" t="s">
        <v>9</v>
      </c>
      <c r="C3">
        <v>82</v>
      </c>
      <c r="D3" t="s">
        <v>7</v>
      </c>
      <c r="E3" t="s">
        <v>8</v>
      </c>
    </row>
    <row r="4" spans="1:11" x14ac:dyDescent="0.25">
      <c r="A4" t="s">
        <v>5</v>
      </c>
      <c r="B4" t="s">
        <v>10</v>
      </c>
      <c r="C4">
        <v>74</v>
      </c>
      <c r="D4" t="s">
        <v>7</v>
      </c>
      <c r="E4" t="s">
        <v>8</v>
      </c>
    </row>
    <row r="5" spans="1:11" x14ac:dyDescent="0.25">
      <c r="A5" t="s">
        <v>5</v>
      </c>
      <c r="B5" t="s">
        <v>11</v>
      </c>
      <c r="C5">
        <v>69</v>
      </c>
      <c r="D5" t="s">
        <v>7</v>
      </c>
      <c r="E5" t="s">
        <v>8</v>
      </c>
    </row>
    <row r="6" spans="1:11" x14ac:dyDescent="0.25">
      <c r="A6" t="s">
        <v>12</v>
      </c>
      <c r="B6" t="s">
        <v>6</v>
      </c>
      <c r="C6">
        <v>88</v>
      </c>
      <c r="D6" t="s">
        <v>7</v>
      </c>
      <c r="E6" t="s">
        <v>13</v>
      </c>
    </row>
    <row r="7" spans="1:11" x14ac:dyDescent="0.25">
      <c r="A7" t="s">
        <v>12</v>
      </c>
      <c r="B7" t="s">
        <v>9</v>
      </c>
      <c r="C7">
        <v>91</v>
      </c>
      <c r="D7" t="s">
        <v>7</v>
      </c>
      <c r="E7" t="s">
        <v>13</v>
      </c>
    </row>
    <row r="8" spans="1:11" x14ac:dyDescent="0.25">
      <c r="A8" t="s">
        <v>12</v>
      </c>
      <c r="B8" t="s">
        <v>10</v>
      </c>
      <c r="C8">
        <v>85</v>
      </c>
      <c r="D8" t="s">
        <v>7</v>
      </c>
      <c r="E8" t="s">
        <v>13</v>
      </c>
    </row>
    <row r="9" spans="1:11" x14ac:dyDescent="0.25">
      <c r="A9" t="s">
        <v>12</v>
      </c>
      <c r="B9" t="s">
        <v>11</v>
      </c>
      <c r="C9">
        <v>80</v>
      </c>
      <c r="D9" t="s">
        <v>7</v>
      </c>
      <c r="E9" t="s">
        <v>13</v>
      </c>
    </row>
    <row r="10" spans="1:11" x14ac:dyDescent="0.25">
      <c r="A10" t="s">
        <v>14</v>
      </c>
      <c r="B10" t="s">
        <v>6</v>
      </c>
      <c r="C10">
        <v>45</v>
      </c>
      <c r="D10" t="s">
        <v>15</v>
      </c>
      <c r="E10" t="s">
        <v>8</v>
      </c>
    </row>
    <row r="11" spans="1:11" x14ac:dyDescent="0.25">
      <c r="A11" t="s">
        <v>14</v>
      </c>
      <c r="B11" t="s">
        <v>9</v>
      </c>
      <c r="C11">
        <v>52</v>
      </c>
      <c r="D11" t="s">
        <v>15</v>
      </c>
      <c r="E11" t="s">
        <v>8</v>
      </c>
    </row>
    <row r="12" spans="1:11" x14ac:dyDescent="0.25">
      <c r="A12" t="s">
        <v>14</v>
      </c>
      <c r="B12" t="s">
        <v>10</v>
      </c>
      <c r="C12">
        <v>48</v>
      </c>
      <c r="D12" t="s">
        <v>15</v>
      </c>
      <c r="E12" t="s">
        <v>8</v>
      </c>
    </row>
    <row r="13" spans="1:11" x14ac:dyDescent="0.25">
      <c r="A13" t="s">
        <v>14</v>
      </c>
      <c r="B13" t="s">
        <v>11</v>
      </c>
      <c r="C13">
        <v>50</v>
      </c>
      <c r="D13" t="s">
        <v>15</v>
      </c>
      <c r="E13" t="s">
        <v>8</v>
      </c>
      <c r="F13" s="6" t="s">
        <v>33</v>
      </c>
      <c r="G13" s="6"/>
      <c r="H13" s="6"/>
      <c r="I13" s="6"/>
      <c r="J13" s="6"/>
      <c r="K13" s="6"/>
    </row>
    <row r="14" spans="1:11" x14ac:dyDescent="0.25">
      <c r="A14" t="s">
        <v>16</v>
      </c>
      <c r="B14" t="s">
        <v>6</v>
      </c>
      <c r="C14">
        <v>92</v>
      </c>
      <c r="D14" t="s">
        <v>15</v>
      </c>
      <c r="E14" t="s">
        <v>13</v>
      </c>
      <c r="F14" s="6" t="s">
        <v>27</v>
      </c>
      <c r="G14" s="6"/>
      <c r="H14" s="6"/>
      <c r="I14" s="6"/>
      <c r="J14" s="6"/>
      <c r="K14" s="6"/>
    </row>
    <row r="15" spans="1:11" x14ac:dyDescent="0.25">
      <c r="A15" t="s">
        <v>16</v>
      </c>
      <c r="B15" t="s">
        <v>9</v>
      </c>
      <c r="C15">
        <v>89</v>
      </c>
      <c r="D15" t="s">
        <v>15</v>
      </c>
      <c r="E15" t="s">
        <v>13</v>
      </c>
      <c r="F15" s="6" t="s">
        <v>28</v>
      </c>
      <c r="G15" s="6"/>
      <c r="H15" s="6"/>
      <c r="I15" s="6"/>
      <c r="J15" s="6"/>
      <c r="K15" s="6"/>
    </row>
    <row r="16" spans="1:11" x14ac:dyDescent="0.25">
      <c r="A16" t="s">
        <v>16</v>
      </c>
      <c r="B16" t="s">
        <v>10</v>
      </c>
      <c r="C16">
        <v>94</v>
      </c>
      <c r="D16" t="s">
        <v>15</v>
      </c>
      <c r="E16" t="s">
        <v>13</v>
      </c>
      <c r="F16" s="6" t="s">
        <v>29</v>
      </c>
      <c r="G16" s="6"/>
      <c r="H16" s="6"/>
      <c r="I16" s="6"/>
      <c r="J16" s="6"/>
      <c r="K16" s="6"/>
    </row>
    <row r="17" spans="1:12" x14ac:dyDescent="0.25">
      <c r="A17" t="s">
        <v>16</v>
      </c>
      <c r="B17" t="s">
        <v>11</v>
      </c>
      <c r="C17">
        <v>90</v>
      </c>
      <c r="D17" t="s">
        <v>15</v>
      </c>
      <c r="E17" t="s">
        <v>13</v>
      </c>
    </row>
    <row r="18" spans="1:12" x14ac:dyDescent="0.25">
      <c r="A18" t="s">
        <v>17</v>
      </c>
      <c r="B18" t="s">
        <v>6</v>
      </c>
      <c r="C18">
        <v>35</v>
      </c>
      <c r="D18" t="s">
        <v>7</v>
      </c>
      <c r="E18" t="s">
        <v>8</v>
      </c>
      <c r="F18" s="5" t="s">
        <v>24</v>
      </c>
      <c r="G18" s="5"/>
      <c r="H18" s="5">
        <f>MAX(C:C)</f>
        <v>94</v>
      </c>
      <c r="I18" s="5"/>
      <c r="J18" s="5"/>
      <c r="K18" s="5"/>
      <c r="L18" s="5"/>
    </row>
    <row r="19" spans="1:12" x14ac:dyDescent="0.25">
      <c r="A19" t="s">
        <v>17</v>
      </c>
      <c r="B19" t="s">
        <v>9</v>
      </c>
      <c r="C19">
        <v>40</v>
      </c>
      <c r="D19" t="s">
        <v>7</v>
      </c>
      <c r="E19" t="s">
        <v>8</v>
      </c>
      <c r="F19" s="5" t="s">
        <v>25</v>
      </c>
      <c r="G19" s="5"/>
      <c r="H19" s="5">
        <f>COUNTIF(C:C,"&lt;40")</f>
        <v>2</v>
      </c>
      <c r="I19" s="5">
        <f>(3/8)*100</f>
        <v>37.5</v>
      </c>
      <c r="J19" s="5"/>
      <c r="K19" s="5"/>
      <c r="L19" s="5"/>
    </row>
    <row r="20" spans="1:12" x14ac:dyDescent="0.25">
      <c r="A20" t="s">
        <v>17</v>
      </c>
      <c r="B20" t="s">
        <v>10</v>
      </c>
      <c r="C20">
        <v>38</v>
      </c>
      <c r="D20" t="s">
        <v>7</v>
      </c>
      <c r="E20" t="s">
        <v>8</v>
      </c>
      <c r="F20" s="5" t="s">
        <v>26</v>
      </c>
      <c r="G20" s="5"/>
      <c r="H20" s="5"/>
      <c r="I20" s="5"/>
      <c r="J20" s="5"/>
      <c r="K20" s="5"/>
      <c r="L20" s="5"/>
    </row>
    <row r="21" spans="1:12" x14ac:dyDescent="0.25">
      <c r="A21" t="s">
        <v>17</v>
      </c>
      <c r="B21" t="s">
        <v>11</v>
      </c>
      <c r="C21">
        <v>42</v>
      </c>
      <c r="D21" t="s">
        <v>7</v>
      </c>
      <c r="E21" t="s">
        <v>8</v>
      </c>
      <c r="F21" s="5" t="s">
        <v>30</v>
      </c>
      <c r="G21" s="5"/>
      <c r="H21" s="5">
        <v>55.5</v>
      </c>
      <c r="I21" s="5"/>
      <c r="J21" s="5"/>
      <c r="K21" s="5"/>
      <c r="L21" s="5"/>
    </row>
    <row r="22" spans="1:12" x14ac:dyDescent="0.25">
      <c r="A22" t="s">
        <v>18</v>
      </c>
      <c r="B22" t="s">
        <v>6</v>
      </c>
      <c r="C22">
        <v>67</v>
      </c>
      <c r="D22" t="s">
        <v>15</v>
      </c>
      <c r="E22" t="s">
        <v>13</v>
      </c>
      <c r="F22" s="5" t="s">
        <v>31</v>
      </c>
      <c r="G22" s="5"/>
      <c r="H22" s="5">
        <v>82.5</v>
      </c>
      <c r="I22" s="5"/>
      <c r="J22" s="5"/>
      <c r="K22" s="5"/>
      <c r="L22" s="5"/>
    </row>
    <row r="23" spans="1:12" x14ac:dyDescent="0.25">
      <c r="A23" t="s">
        <v>18</v>
      </c>
      <c r="B23" t="s">
        <v>9</v>
      </c>
      <c r="C23">
        <v>72</v>
      </c>
      <c r="D23" t="s">
        <v>15</v>
      </c>
      <c r="E23" t="s">
        <v>13</v>
      </c>
      <c r="F23" s="5" t="s">
        <v>32</v>
      </c>
      <c r="G23" s="5"/>
      <c r="H23" s="5"/>
      <c r="I23" s="5">
        <f>(82.5-55.5)/55.5</f>
        <v>0.48648648648648651</v>
      </c>
      <c r="J23" s="5"/>
      <c r="K23" s="5"/>
      <c r="L23" s="5"/>
    </row>
    <row r="24" spans="1:12" x14ac:dyDescent="0.25">
      <c r="A24" t="s">
        <v>18</v>
      </c>
      <c r="B24" t="s">
        <v>10</v>
      </c>
      <c r="C24">
        <v>70</v>
      </c>
      <c r="D24" t="s">
        <v>15</v>
      </c>
      <c r="E24" t="s">
        <v>13</v>
      </c>
    </row>
    <row r="25" spans="1:12" x14ac:dyDescent="0.25">
      <c r="A25" t="s">
        <v>18</v>
      </c>
      <c r="B25" t="s">
        <v>11</v>
      </c>
      <c r="C25">
        <v>65</v>
      </c>
      <c r="D25" t="s">
        <v>15</v>
      </c>
      <c r="E25" t="s">
        <v>13</v>
      </c>
    </row>
    <row r="26" spans="1:12" x14ac:dyDescent="0.25">
      <c r="A26" t="s">
        <v>19</v>
      </c>
      <c r="B26" t="s">
        <v>6</v>
      </c>
      <c r="C26">
        <v>55</v>
      </c>
      <c r="D26" t="s">
        <v>7</v>
      </c>
      <c r="E26" t="s">
        <v>8</v>
      </c>
      <c r="F26" s="5" t="s">
        <v>34</v>
      </c>
      <c r="G26" s="5"/>
      <c r="H26" s="5"/>
    </row>
    <row r="27" spans="1:12" x14ac:dyDescent="0.25">
      <c r="A27" t="s">
        <v>19</v>
      </c>
      <c r="B27" t="s">
        <v>9</v>
      </c>
      <c r="C27">
        <v>60</v>
      </c>
      <c r="D27" t="s">
        <v>7</v>
      </c>
      <c r="E27" t="s">
        <v>8</v>
      </c>
      <c r="F27" s="5" t="s">
        <v>35</v>
      </c>
      <c r="G27" s="5"/>
      <c r="H27" s="5"/>
    </row>
    <row r="28" spans="1:12" x14ac:dyDescent="0.25">
      <c r="A28" t="s">
        <v>19</v>
      </c>
      <c r="B28" t="s">
        <v>10</v>
      </c>
      <c r="C28">
        <v>58</v>
      </c>
      <c r="D28" t="s">
        <v>7</v>
      </c>
      <c r="E28" t="s">
        <v>8</v>
      </c>
      <c r="F28" s="5" t="s">
        <v>36</v>
      </c>
      <c r="G28" s="5"/>
      <c r="H28" s="7"/>
    </row>
    <row r="29" spans="1:12" x14ac:dyDescent="0.25">
      <c r="A29" t="s">
        <v>19</v>
      </c>
      <c r="B29" t="s">
        <v>11</v>
      </c>
      <c r="C29">
        <v>62</v>
      </c>
      <c r="D29" t="s">
        <v>7</v>
      </c>
      <c r="E29" t="s">
        <v>8</v>
      </c>
    </row>
    <row r="30" spans="1:12" x14ac:dyDescent="0.25">
      <c r="A30" t="s">
        <v>20</v>
      </c>
      <c r="B30" t="s">
        <v>6</v>
      </c>
      <c r="C30">
        <v>81</v>
      </c>
      <c r="D30" t="s">
        <v>15</v>
      </c>
      <c r="E30" t="s">
        <v>13</v>
      </c>
    </row>
    <row r="31" spans="1:12" x14ac:dyDescent="0.25">
      <c r="A31" t="s">
        <v>20</v>
      </c>
      <c r="B31" t="s">
        <v>9</v>
      </c>
      <c r="C31">
        <v>85</v>
      </c>
      <c r="D31" t="s">
        <v>15</v>
      </c>
      <c r="E31" t="s">
        <v>13</v>
      </c>
    </row>
    <row r="32" spans="1:12" x14ac:dyDescent="0.25">
      <c r="A32" t="s">
        <v>20</v>
      </c>
      <c r="B32" t="s">
        <v>10</v>
      </c>
      <c r="C32">
        <v>88</v>
      </c>
      <c r="D32" t="s">
        <v>15</v>
      </c>
      <c r="E32" t="s">
        <v>13</v>
      </c>
    </row>
    <row r="33" spans="1:5" x14ac:dyDescent="0.25">
      <c r="A33" t="s">
        <v>20</v>
      </c>
      <c r="B33" t="s">
        <v>11</v>
      </c>
      <c r="C33">
        <v>83</v>
      </c>
      <c r="D33" t="s">
        <v>15</v>
      </c>
      <c r="E33" t="s">
        <v>13</v>
      </c>
    </row>
    <row r="35" spans="1:5" x14ac:dyDescent="0.25">
      <c r="A35" s="2" t="s">
        <v>21</v>
      </c>
      <c r="B35" t="s">
        <v>23</v>
      </c>
    </row>
    <row r="36" spans="1:5" x14ac:dyDescent="0.25">
      <c r="A36" s="3" t="s">
        <v>13</v>
      </c>
      <c r="B36" s="4">
        <v>82.5</v>
      </c>
    </row>
    <row r="37" spans="1:5" x14ac:dyDescent="0.25">
      <c r="A37" s="3" t="s">
        <v>8</v>
      </c>
      <c r="B37" s="4">
        <v>55.5</v>
      </c>
    </row>
    <row r="38" spans="1:5" x14ac:dyDescent="0.25">
      <c r="A38" s="3" t="s">
        <v>22</v>
      </c>
      <c r="B38" s="4">
        <v>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2025-12-13T11:09:45Z</dcterms:created>
  <dcterms:modified xsi:type="dcterms:W3CDTF">2025-12-13T12:17:17Z</dcterms:modified>
</cp:coreProperties>
</file>